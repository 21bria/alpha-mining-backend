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9350A383-AAAC-0246-9AA2-4C72F2E2AE29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selling_barging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R3" i="1" s="1"/>
  <c r="X3" i="1"/>
  <c r="W2" i="1"/>
  <c r="Y2" i="1" s="1"/>
  <c r="X2" i="1"/>
  <c r="Y3" i="1" l="1"/>
  <c r="S3" i="1" s="1"/>
  <c r="Z2" i="1"/>
  <c r="R2" i="1"/>
  <c r="S2" i="1"/>
  <c r="Z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B1" authorId="0" shapeId="0" xr:uid="{6665CEC2-801A-E84C-8F7D-2893A92F1FB9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Barging tiba d Jetty</t>
        </r>
      </text>
    </comment>
    <comment ref="C1" authorId="0" shapeId="0" xr:uid="{168F62A5-1212-2C41-B729-81BF89EF3F71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Hauling dari dome ke Barging</t>
        </r>
      </text>
    </comment>
    <comment ref="E1" authorId="0" shapeId="0" xr:uid="{50C1C845-B024-D84F-B5C5-580470D95432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Day / Night</t>
        </r>
      </text>
    </comment>
    <comment ref="F1" authorId="0" shapeId="0" xr:uid="{A0B004C0-D844-5843-9CC2-19FA1D9EF4B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Dumping DT ke Barging / Tongkang</t>
        </r>
      </text>
    </comment>
    <comment ref="K1" authorId="0" shapeId="0" xr:uid="{A6CECF26-1FF7-E445-B8CC-F5F6D7676E87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 (Lim Selling)
</t>
        </r>
        <r>
          <rPr>
            <sz val="10"/>
            <color rgb="FF000000"/>
            <rFont val="Tahoma"/>
            <family val="2"/>
          </rPr>
          <t>SAS (SAP Selling)</t>
        </r>
      </text>
    </comment>
    <comment ref="L1" authorId="0" shapeId="0" xr:uid="{00772DE8-66EF-C942-BD8B-0AE6EDB71EA5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LIM / SAP</t>
        </r>
      </text>
    </comment>
    <comment ref="P1" authorId="0" shapeId="0" xr:uid="{BB4C87D6-036B-D34D-B67F-7D4AB676945E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Kode LOT :
</t>
        </r>
        <r>
          <rPr>
            <sz val="10"/>
            <color rgb="FF000000"/>
            <rFont val="Tahoma"/>
            <family val="2"/>
          </rPr>
          <t xml:space="preserve">KWL- (LIM)
</t>
        </r>
        <r>
          <rPr>
            <sz val="10"/>
            <color rgb="FF000000"/>
            <rFont val="Tahoma"/>
            <family val="2"/>
          </rPr>
          <t>KWS- (SAP)</t>
        </r>
      </text>
    </comment>
    <comment ref="T1" authorId="0" shapeId="0" xr:uid="{8566D488-C8CC-DD4B-8EAB-E32F08D579C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Untuk HPAL (LIM) / RKEF (SAP).
</t>
        </r>
        <r>
          <rPr>
            <u/>
            <sz val="8"/>
            <color rgb="FF000000"/>
            <rFont val="Tahoma"/>
            <family val="2"/>
          </rPr>
          <t xml:space="preserve">Note : 
</t>
        </r>
        <r>
          <rPr>
            <sz val="9"/>
            <color rgb="FF000000"/>
            <rFont val="Tahoma"/>
            <family val="2"/>
          </rPr>
          <t xml:space="preserve">Original LIM dijual atau di blending jadi SAP maka diadjust jadi </t>
        </r>
        <r>
          <rPr>
            <b/>
            <sz val="9"/>
            <color rgb="FF000000"/>
            <rFont val="Tahoma"/>
            <family val="2"/>
          </rPr>
          <t>RKEF</t>
        </r>
        <r>
          <rPr>
            <sz val="9"/>
            <color rgb="FF000000"/>
            <rFont val="Tahoma"/>
            <family val="2"/>
          </rPr>
          <t xml:space="preserve">. Sebaliknya SAP ke LIM mejadi </t>
        </r>
        <r>
          <rPr>
            <b/>
            <sz val="9"/>
            <color rgb="FF000000"/>
            <rFont val="Tahoma"/>
            <family val="2"/>
          </rPr>
          <t>HPAL</t>
        </r>
      </text>
    </comment>
    <comment ref="U1" authorId="0" shapeId="0" xr:uid="{BD1E2A07-C710-514E-9301-30B5EDDA80C5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Barging Out from Jetty</t>
        </r>
      </text>
    </comment>
  </commentList>
</comments>
</file>

<file path=xl/sharedStrings.xml><?xml version="1.0" encoding="utf-8"?>
<sst xmlns="http://schemas.openxmlformats.org/spreadsheetml/2006/main" count="78" uniqueCount="63">
  <si>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</si>
  <si>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</si>
  <si>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</si>
  <si>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</si>
  <si>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</si>
  <si>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</si>
  <si>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</si>
  <si>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</si>
  <si>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</si>
  <si>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</si>
  <si>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</si>
  <si>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</si>
  <si>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</si>
  <si>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</si>
  <si>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</si>
  <si>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</si>
  <si>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</si>
  <si>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</si>
  <si>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</si>
  <si>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</si>
  <si>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</si>
  <si>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</si>
  <si>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</si>
  <si>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</si>
  <si>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</si>
  <si>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</si>
  <si>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</si>
  <si>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</si>
  <si>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</si>
  <si>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material</t>
  </si>
  <si>
    <t>shift</t>
  </si>
  <si>
    <t>code_lot</t>
  </si>
  <si>
    <t>sub_lot</t>
  </si>
  <si>
    <t>group</t>
  </si>
  <si>
    <t>date_barging_in</t>
  </si>
  <si>
    <t>date_hauling</t>
  </si>
  <si>
    <t>time</t>
  </si>
  <si>
    <t>date_barging_load</t>
  </si>
  <si>
    <t>barge_code</t>
  </si>
  <si>
    <t>barge_load_loc</t>
  </si>
  <si>
    <t>barge_unload_loc</t>
  </si>
  <si>
    <t>no_truck</t>
  </si>
  <si>
    <t>sale_code</t>
  </si>
  <si>
    <t>stockpile</t>
  </si>
  <si>
    <t>dome_ori</t>
  </si>
  <si>
    <t>buyer</t>
  </si>
  <si>
    <t>tonnage</t>
  </si>
  <si>
    <t>adjust_sale</t>
  </si>
  <si>
    <t>date_barging_out</t>
  </si>
  <si>
    <t>direct</t>
  </si>
  <si>
    <t>cek_sub_lot</t>
  </si>
  <si>
    <t>count_inc</t>
  </si>
  <si>
    <t>Day</t>
  </si>
  <si>
    <t>BG-3301</t>
  </si>
  <si>
    <t>Jetty KAWI</t>
  </si>
  <si>
    <t>Jetty IWIP</t>
  </si>
  <si>
    <t>LIM</t>
  </si>
  <si>
    <t>TSR</t>
  </si>
  <si>
    <t>HNC</t>
  </si>
  <si>
    <t>KWL-00001</t>
  </si>
  <si>
    <t>HPAL</t>
  </si>
  <si>
    <t>Dome A</t>
  </si>
  <si>
    <t>DT-256-NPM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</si>
</sst>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hh\.mm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u/>
      <sz val="8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6">
    <xf numFmtId="0" fontId="0" fillId="0" borderId="0"/>
    <xf numFmtId="0" fontId="12" fillId="0" borderId="0"/>
    <xf numFmtId="0" fontId="15" fillId="0" borderId="0"/>
    <xf numFmtId="0" fontId="2" fillId="0" borderId="0"/>
    <xf numFmtId="0" fontId="16" fillId="3" borderId="0" applyNumberFormat="0" applyBorder="0" applyAlignment="0" applyProtection="0"/>
    <xf numFmtId="0" fontId="1" fillId="4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0" fillId="0" borderId="1" xfId="0" quotePrefix="1" applyBorder="1"/>
    <xf numFmtId="0" fontId="9" fillId="0" borderId="1" xfId="0" quotePrefix="1" applyFont="1" applyBorder="1"/>
    <xf numFmtId="0" fontId="6" fillId="0" borderId="1" xfId="0" applyFont="1" applyBorder="1"/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14" fillId="0" borderId="0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4" applyFill="1" applyBorder="1" applyAlignment="1">
      <alignment vertical="center"/>
    </xf>
  </cellXfs>
  <cellStyles count="6">
    <cellStyle name="60% - Accent3" xfId="5" builtinId="40"/>
    <cellStyle name="Neutral" xfId="4" builtinId="28"/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zoomScaleNormal="100" workbookViewId="0">
      <pane ySplit="1" topLeftCell="A2" activePane="bottomLeft" state="frozen"/>
      <selection pane="bottomLeft" activeCell="A2" sqref="A2:Z3"/>
    </sheetView>
  </sheetViews>
  <sheetFormatPr baseColWidth="10" defaultColWidth="8.83203125" defaultRowHeight="15" x14ac:dyDescent="0.2"/>
  <cols>
    <col min="1" max="1" width="13.33203125" customWidth="1"/>
    <col min="2" max="2" width="15.6640625" style="1" customWidth="1"/>
    <col min="3" max="3" width="14.5" customWidth="1"/>
    <col min="4" max="4" width="7.6640625" style="15" customWidth="1"/>
    <col min="5" max="5" width="7.5" style="15" customWidth="1"/>
    <col min="6" max="6" width="15.33203125" style="15" bestFit="1" customWidth="1"/>
    <col min="7" max="7" width="14.5" style="1" customWidth="1"/>
    <col min="8" max="8" width="15.5" style="1" customWidth="1"/>
    <col min="9" max="9" width="16.5" style="1" customWidth="1"/>
    <col min="10" max="10" width="14" style="15" customWidth="1"/>
    <col min="11" max="11" width="10.6640625" style="1" customWidth="1"/>
    <col min="12" max="12" width="10.1640625" bestFit="1" customWidth="1"/>
    <col min="13" max="13" width="10.5" customWidth="1"/>
    <col min="14" max="14" width="11.6640625" customWidth="1"/>
    <col min="15" max="15" width="10.6640625" customWidth="1"/>
    <col min="16" max="16" width="10.1640625" bestFit="1" customWidth="1"/>
    <col min="17" max="17" width="10.5" customWidth="1"/>
    <col min="18" max="18" width="8.6640625" customWidth="1"/>
    <col min="19" max="19" width="10.1640625" customWidth="1"/>
    <col min="20" max="20" width="12.33203125" customWidth="1"/>
    <col min="21" max="21" width="14.33203125" customWidth="1"/>
    <col min="22" max="22" width="13" customWidth="1"/>
    <col min="23" max="23" width="11.6640625" customWidth="1"/>
    <col min="24" max="24" width="7.33203125" customWidth="1"/>
    <col min="26" max="26" width="10.83203125" bestFit="1" customWidth="1"/>
  </cols>
  <sheetData>
    <row r="1" spans="1:26" x14ac:dyDescent="0.2">
      <c r="A1" s="12" t="s">
        <v>6</v>
      </c>
      <c r="B1" s="16" t="s">
        <v>34</v>
      </c>
      <c r="C1" s="14" t="s">
        <v>35</v>
      </c>
      <c r="D1" s="14" t="s">
        <v>36</v>
      </c>
      <c r="E1" s="14" t="s">
        <v>30</v>
      </c>
      <c r="F1" s="14" t="s">
        <v>37</v>
      </c>
      <c r="G1" s="14" t="s">
        <v>38</v>
      </c>
      <c r="H1" s="14" t="s">
        <v>39</v>
      </c>
      <c r="I1" s="14" t="s">
        <v>40</v>
      </c>
      <c r="J1" s="14" t="s">
        <v>41</v>
      </c>
      <c r="K1" s="16" t="s">
        <v>42</v>
      </c>
      <c r="L1" s="14" t="s">
        <v>29</v>
      </c>
      <c r="M1" s="14" t="s">
        <v>43</v>
      </c>
      <c r="N1" s="14" t="s">
        <v>44</v>
      </c>
      <c r="O1" s="14" t="s">
        <v>45</v>
      </c>
      <c r="P1" s="14" t="s">
        <v>31</v>
      </c>
      <c r="Q1" s="14" t="s">
        <v>46</v>
      </c>
      <c r="R1" s="14" t="s">
        <v>32</v>
      </c>
      <c r="S1" s="14" t="s">
        <v>33</v>
      </c>
      <c r="T1" s="14" t="s">
        <v>47</v>
      </c>
      <c r="U1" s="14" t="s">
        <v>48</v>
      </c>
      <c r="V1" s="14" t="s">
        <v>49</v>
      </c>
      <c r="W1" s="17" t="s">
        <v>50</v>
      </c>
      <c r="X1" s="17"/>
      <c r="Y1" s="17" t="s">
        <v>51</v>
      </c>
      <c r="Z1" s="18"/>
    </row>
    <row r="2" spans="1:26" ht="16" x14ac:dyDescent="0.2">
      <c r="A2" t="s">
        <v>27</v>
      </c>
      <c r="B2" s="22">
        <v>45869</v>
      </c>
      <c r="C2" s="22">
        <v>45871</v>
      </c>
      <c r="D2" s="23">
        <v>0.38958333333333334</v>
      </c>
      <c r="E2" s="24" t="s">
        <v>52</v>
      </c>
      <c r="F2" s="22">
        <v>45871</v>
      </c>
      <c r="G2" s="25" t="s">
        <v>53</v>
      </c>
      <c r="H2" s="26" t="s">
        <v>54</v>
      </c>
      <c r="I2" s="26" t="s">
        <v>55</v>
      </c>
      <c r="J2" s="26" t="s">
        <v>62</v>
      </c>
      <c r="K2" s="26" t="s">
        <v>8</v>
      </c>
      <c r="L2" s="26" t="s">
        <v>56</v>
      </c>
      <c r="M2" s="26" t="s">
        <v>57</v>
      </c>
      <c r="N2" s="26" t="s">
        <v>61</v>
      </c>
      <c r="O2" s="26" t="s">
        <v>58</v>
      </c>
      <c r="P2" s="27" t="s">
        <v>59</v>
      </c>
      <c r="Q2" s="26">
        <v>30.11</v>
      </c>
      <c r="R2" s="28" t="str">
        <f>W2</f>
        <v>SL_01</v>
      </c>
      <c r="S2" s="26">
        <f>Y2</f>
        <v>1</v>
      </c>
      <c r="T2" s="26" t="s">
        <v>60</v>
      </c>
      <c r="U2" s="22">
        <v>45873</v>
      </c>
      <c r="V2" s="22"/>
      <c r="W2" s="19" t="str">
        <f>"SL_" &amp; TEXT(INT((COUNTIF($O$2:P2,P2)-1)/100)+1,"00")</f>
        <v>SL_01</v>
      </c>
      <c r="X2" s="20" t="str">
        <f>IF(COUNTIF($O$2:P2,P2)&gt;100,"CHECK",IF(COUNTIF($O$2:P2,P2)&lt;1,"CHECK","SL_"&amp;TEXT(INT((COUNTIF($O$2:P2,P2)-1)/100)+1,"00")))</f>
        <v>SL_01</v>
      </c>
      <c r="Y2" s="20">
        <f>INT((COUNTIFS($O$2:P2,P2,$V$2:W2,W2)-1)/20)+1</f>
        <v>1</v>
      </c>
      <c r="Z2" s="21" t="str">
        <f>X2 &amp; "-INC_" &amp; TEXT(Y2,"00")</f>
        <v>SL_01-INC_01</v>
      </c>
    </row>
    <row r="3" spans="1:26" ht="16" x14ac:dyDescent="0.2">
      <c r="A3" t="s">
        <v>27</v>
      </c>
      <c r="B3" s="22">
        <v>45869</v>
      </c>
      <c r="C3" s="22">
        <v>45871</v>
      </c>
      <c r="D3" s="23">
        <v>0.38958333333333334</v>
      </c>
      <c r="E3" s="24" t="s">
        <v>52</v>
      </c>
      <c r="F3" s="22">
        <v>45871</v>
      </c>
      <c r="G3" s="25" t="s">
        <v>53</v>
      </c>
      <c r="H3" s="26" t="s">
        <v>54</v>
      </c>
      <c r="I3" s="26" t="s">
        <v>55</v>
      </c>
      <c r="J3" s="26" t="s">
        <v>62</v>
      </c>
      <c r="K3" s="26" t="s">
        <v>8</v>
      </c>
      <c r="L3" s="26" t="s">
        <v>56</v>
      </c>
      <c r="M3" s="26" t="s">
        <v>57</v>
      </c>
      <c r="N3" s="26" t="s">
        <v>61</v>
      </c>
      <c r="O3" s="26" t="s">
        <v>58</v>
      </c>
      <c r="P3" s="27" t="s">
        <v>59</v>
      </c>
      <c r="Q3" s="26">
        <v>30.11</v>
      </c>
      <c r="R3" s="28" t="str">
        <f>W3</f>
        <v>SL_01</v>
      </c>
      <c r="S3" s="26">
        <f>Y3</f>
        <v>1</v>
      </c>
      <c r="T3" s="26" t="s">
        <v>60</v>
      </c>
      <c r="U3" s="22">
        <v>45873</v>
      </c>
      <c r="V3" s="22"/>
      <c r="W3" s="19" t="str">
        <f>"SL_" &amp; TEXT(INT((COUNTIF($O$2:P3,P3)-1)/100)+1,"00")</f>
        <v>SL_01</v>
      </c>
      <c r="X3" s="20" t="str">
        <f>IF(COUNTIF($O$2:P3,P3)&gt;100,"CHECK",IF(COUNTIF($O$2:P3,P3)&lt;1,"CHECK","SL_"&amp;TEXT(INT((COUNTIF($O$2:P3,P3)-1)/100)+1,"00")))</f>
        <v>SL_01</v>
      </c>
      <c r="Y3" s="20">
        <f>INT((COUNTIFS($O$2:P3,P3,$V$2:W3,W3)-1)/20)+1</f>
        <v>1</v>
      </c>
      <c r="Z3" s="21" t="str">
        <f>X3 &amp; "-INC_" &amp; TEXT(Y3,"00")</f>
        <v>SL_01-INC_01</v>
      </c>
    </row>
    <row r="4" spans="1:26" ht="16" x14ac:dyDescent="0.2">
      <c r="B4" s="22"/>
      <c r="C4" s="22"/>
      <c r="D4" s="23"/>
      <c r="E4" s="24"/>
      <c r="F4" s="22"/>
      <c r="G4" s="25"/>
      <c r="H4" s="26"/>
      <c r="I4" s="26"/>
      <c r="J4" s="26"/>
      <c r="K4" s="26"/>
      <c r="L4" s="26"/>
      <c r="M4" s="26"/>
      <c r="N4" s="26"/>
      <c r="O4" s="26"/>
      <c r="P4" s="27"/>
      <c r="Q4" s="26"/>
      <c r="R4" s="28"/>
      <c r="S4" s="26"/>
      <c r="T4" s="26"/>
      <c r="U4" s="22"/>
      <c r="V4" s="22"/>
      <c r="W4" s="19"/>
      <c r="X4" s="20"/>
      <c r="Y4" s="20"/>
      <c r="Z4" s="21"/>
    </row>
    <row r="5" spans="1:26" ht="16" x14ac:dyDescent="0.2">
      <c r="B5" s="22"/>
      <c r="C5" s="22"/>
      <c r="D5" s="23"/>
      <c r="E5" s="24"/>
      <c r="F5" s="22"/>
      <c r="G5" s="25"/>
      <c r="H5" s="26"/>
      <c r="I5" s="26"/>
      <c r="J5" s="26"/>
      <c r="K5" s="26"/>
      <c r="L5" s="26"/>
      <c r="M5" s="26"/>
      <c r="N5" s="26"/>
      <c r="O5" s="26"/>
      <c r="P5" s="27"/>
      <c r="Q5" s="26"/>
      <c r="R5" s="28"/>
      <c r="S5" s="26"/>
      <c r="T5" s="26"/>
      <c r="U5" s="22"/>
      <c r="V5" s="22"/>
      <c r="W5" s="19"/>
      <c r="X5" s="20"/>
      <c r="Y5" s="20"/>
      <c r="Z5" s="21"/>
    </row>
  </sheetData>
  <phoneticPr fontId="11" type="noConversion"/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/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28</v>
      </c>
      <c r="C1" s="13" t="s">
        <v>7</v>
      </c>
      <c r="D1" s="2"/>
      <c r="E1" s="13" t="s">
        <v>13</v>
      </c>
      <c r="G1" s="5"/>
    </row>
    <row r="2" spans="1:7" ht="18" customHeight="1" x14ac:dyDescent="0.2">
      <c r="A2" s="7"/>
      <c r="C2" s="11" t="s">
        <v>8</v>
      </c>
      <c r="D2" s="3"/>
      <c r="E2" s="7" t="s">
        <v>14</v>
      </c>
    </row>
    <row r="3" spans="1:7" ht="18" customHeight="1" x14ac:dyDescent="0.2">
      <c r="A3" s="8" t="s">
        <v>0</v>
      </c>
      <c r="C3" s="11" t="s">
        <v>9</v>
      </c>
      <c r="D3" s="3"/>
      <c r="E3" s="7" t="s">
        <v>15</v>
      </c>
    </row>
    <row r="4" spans="1:7" ht="18" customHeight="1" x14ac:dyDescent="0.2">
      <c r="A4" s="9" t="s">
        <v>10</v>
      </c>
      <c r="C4" s="3"/>
      <c r="D4" s="3"/>
      <c r="E4" s="7" t="s">
        <v>16</v>
      </c>
    </row>
    <row r="5" spans="1:7" ht="18" customHeight="1" x14ac:dyDescent="0.2">
      <c r="A5" s="9" t="s">
        <v>24</v>
      </c>
      <c r="C5" s="3"/>
      <c r="D5" s="3"/>
      <c r="E5" s="7" t="s">
        <v>17</v>
      </c>
    </row>
    <row r="6" spans="1:7" ht="18" customHeight="1" x14ac:dyDescent="0.2">
      <c r="A6" s="9" t="s">
        <v>11</v>
      </c>
      <c r="C6" s="3"/>
      <c r="D6" s="3"/>
      <c r="E6" s="7" t="s">
        <v>18</v>
      </c>
    </row>
    <row r="7" spans="1:7" ht="18" customHeight="1" x14ac:dyDescent="0.2">
      <c r="A7" s="9"/>
      <c r="C7" s="3"/>
      <c r="D7" s="3"/>
      <c r="E7" s="7" t="s">
        <v>19</v>
      </c>
    </row>
    <row r="8" spans="1:7" ht="18" customHeight="1" x14ac:dyDescent="0.2">
      <c r="A8" s="10" t="s">
        <v>5</v>
      </c>
      <c r="C8" s="3"/>
      <c r="D8" s="3"/>
      <c r="E8" s="7" t="s">
        <v>20</v>
      </c>
    </row>
    <row r="9" spans="1:7" ht="18" customHeight="1" x14ac:dyDescent="0.2">
      <c r="A9" s="9" t="s">
        <v>12</v>
      </c>
    </row>
    <row r="10" spans="1:7" ht="18" customHeight="1" x14ac:dyDescent="0.2">
      <c r="A10" s="9" t="s">
        <v>26</v>
      </c>
    </row>
    <row r="11" spans="1:7" ht="18" customHeight="1" x14ac:dyDescent="0.2">
      <c r="A11" s="9" t="s">
        <v>26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25</v>
      </c>
    </row>
    <row r="15" spans="1:7" ht="18" customHeight="1" x14ac:dyDescent="0.2">
      <c r="A15" s="7" t="s">
        <v>23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21</v>
      </c>
    </row>
    <row r="20" spans="1:1" x14ac:dyDescent="0.2">
      <c r="A20" s="7" t="s">
        <v>4</v>
      </c>
    </row>
    <row r="21" spans="1:1" x14ac:dyDescent="0.2">
      <c r="A21" s="7" t="s">
        <v>22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selling_barging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2026-03-27T00:01:46Z</dcterms:modified>
</cp:coreProperties>
</file>